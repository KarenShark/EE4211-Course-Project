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88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<sst xmlns="http://schemas.openxmlformats.org/spreadsheetml/2006/main" count="44" uniqueCount="42">
  <si>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Marksheet COMP0197 Coursework1 2023/24</t>
  </si>
  <si>
    <t>Student</t>
  </si>
  <si>
    <t>Group 1</t>
  </si>
  <si>
    <t>Marks</t>
  </si>
  <si>
    <t>Available</t>
  </si>
  <si>
    <t>Awarded</t>
  </si>
  <si>
    <t>Total</t>
  </si>
  <si>
    <t>1st Marker</t>
  </si>
  <si>
    <t>2nd Marker</t>
  </si>
  <si>
    <t>Sections</t>
  </si>
  <si>
    <t>Marking points</t>
  </si>
  <si>
    <t>1st marker</t>
  </si>
  <si>
    <t>remarks</t>
  </si>
  <si>
    <t>2nd marker</t>
  </si>
  <si>
    <t>consensus</t>
  </si>
  <si>
    <t xml:space="preserve"> Task</t>
  </si>
  <si>
    <t>Group Project (Code)</t>
  </si>
  <si>
    <t>General code guidelines</t>
  </si>
  <si>
    <t>Model pipeline works end-to-end; correct architecture; adheres to weakly-supervised setup (no use of forbidden labels, etc.)</t>
  </si>
  <si>
    <t>some bad practice in load_data() function: ununsed full_xxx_paths variable</t>
  </si>
  <si>
    <t>Consistent and effective use of either PyTorch or TensorFlow, without switching; well-structured, modular code</t>
  </si>
  <si>
    <t>well-structured</t>
  </si>
  <si>
    <t>Limited to max 3 external packages; dependencies documented in instruction.pdf; compatibility with Ubuntu 22.04 ensured</t>
  </si>
  <si>
    <t>Correct use of segmentation evaluation metrics (e.g. IoU, Dice); properly handled train/val/test splits</t>
  </si>
  <si>
    <t>no validataion set? Only train and test set</t>
  </si>
  <si>
    <t>Task</t>
  </si>
  <si>
    <t>Implements a weakly-supervised segmentation framework</t>
  </si>
  <si>
    <t>Implements fully-supervised framework</t>
  </si>
  <si>
    <t>Compares baseline models trained by weakly-supervised vs fully-supervised</t>
  </si>
  <si>
    <t>Conducts ablations to evaluate benefits of the weak supervision</t>
  </si>
  <si>
    <t>Results and any intermediate results are logged/printed/sufficiently documented</t>
  </si>
  <si>
    <t>Experiment completeness</t>
  </si>
  <si>
    <t>Code runs and produces results as described in the report; minimum required project implemented fully</t>
  </si>
  <si>
    <t>Includes baseline vs. weak supervision comparison, and a basic ablation or configuration test (e.g., change in loss, CAM threshold, etc.)</t>
  </si>
  <si>
    <t>hard to find the results generated that compares the two</t>
  </si>
  <si>
    <t>Code presentation</t>
  </si>
  <si>
    <t>Code is readable, logically structured, clearly commented for individual sections, functiones and classes</t>
  </si>
  <si>
    <t>Clear instruction.pdf with commands to run experiments and generate results</t>
  </si>
  <si>
    <t>Open-ended question</t>
  </si>
  <si>
    <t>Identifies an open-ended question and a hypothesis which are separate/marked within the code</t>
  </si>
  <si>
    <t>the author generate bounding box as a weak label is a bonus</t>
  </si>
  <si>
    <t>Conducts an experiment that is well-structured and clearly implemented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</si>
</sst>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8"/>
      <name val="等线"/>
      <charset val="134"/>
      <scheme val="minor"/>
    </font>
    <font>
      <sz val="11"/>
      <color theme="7" tint="-0.249977111117893"/>
      <name val="等线"/>
      <charset val="134"/>
      <scheme val="minor"/>
    </font>
    <font>
      <b/>
      <sz val="11"/>
      <color theme="8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b/>
      <sz val="11"/>
      <color theme="7" tint="-0.249977111117893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/>
    <xf numFmtId="0" fontId="2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8"/>
  <sheetViews>
    <sheetView tabSelected="1" zoomScale="112" zoomScaleNormal="112" workbookViewId="0">
      <selection activeCell="E27" sqref="E27"/>
    </sheetView>
  </sheetViews>
  <sheetFormatPr defaultColWidth="8.85294117647059" defaultRowHeight="16.8"/>
  <cols>
    <col min="1" max="1" width="12" customWidth="1"/>
    <col min="2" max="2" width="110.852941176471" customWidth="1"/>
    <col min="3" max="3" width="9" customWidth="1"/>
    <col min="4" max="4" width="11" style="2" customWidth="1"/>
    <col min="5" max="5" width="25" style="2" customWidth="1"/>
    <col min="6" max="6" width="3" style="3" customWidth="1"/>
    <col min="7" max="7" width="21.4264705882353" style="3" customWidth="1"/>
    <col min="8" max="8" width="11.4264705882353" customWidth="1"/>
    <col min="9" max="9" width="19.4264705882353" customWidth="1"/>
    <col min="10" max="10" width="10.2867647058824" customWidth="1"/>
    <col min="11" max="11" width="9.13970588235294" customWidth="1"/>
  </cols>
  <sheetData>
    <row r="1" s="1" customFormat="1" spans="1:7">
      <c r="A1" s="1" t="s">
        <v>0</v>
      </c>
      <c r="D1" s="4"/>
      <c r="E1" s="4"/>
      <c r="F1" s="12"/>
      <c r="G1" s="12"/>
    </row>
    <row r="3" spans="1:3">
      <c r="A3" s="5"/>
      <c r="B3" s="5"/>
      <c r="C3" s="5"/>
    </row>
    <row r="4" spans="1:2">
      <c r="A4" s="1" t="s">
        <v>1</v>
      </c>
      <c r="B4" s="6" t="s">
        <v>2</v>
      </c>
    </row>
    <row r="5" spans="1:4">
      <c r="A5" s="1" t="s">
        <v>3</v>
      </c>
      <c r="B5" s="1" t="s">
        <v>4</v>
      </c>
      <c r="C5" s="1" t="s">
        <v>5</v>
      </c>
      <c r="D5" s="4"/>
    </row>
    <row r="6" spans="1:4">
      <c r="A6" s="1" t="s">
        <v>6</v>
      </c>
      <c r="B6" s="1">
        <v>100</v>
      </c>
      <c r="C6" s="1">
        <f>SUM(H16,H36)</f>
        <v>73</v>
      </c>
      <c r="D6" s="4"/>
    </row>
    <row r="7" spans="1:3">
      <c r="A7" s="5"/>
      <c r="B7" s="5"/>
      <c r="C7" s="5"/>
    </row>
    <row r="9" spans="1:2">
      <c r="A9" s="1" t="s">
        <v>7</v>
      </c>
      <c r="B9" s="6"/>
    </row>
    <row r="10" spans="1:1">
      <c r="A10" s="1" t="s">
        <v>8</v>
      </c>
    </row>
    <row r="14" spans="1:8">
      <c r="A14" s="1" t="s">
        <v>9</v>
      </c>
      <c r="B14" s="1" t="s">
        <v>10</v>
      </c>
      <c r="C14" s="1" t="s">
        <v>4</v>
      </c>
      <c r="D14" s="4" t="s">
        <v>11</v>
      </c>
      <c r="E14" s="4" t="s">
        <v>12</v>
      </c>
      <c r="F14" s="12" t="s">
        <v>13</v>
      </c>
      <c r="G14" s="12" t="s">
        <v>12</v>
      </c>
      <c r="H14" s="1" t="s">
        <v>14</v>
      </c>
    </row>
    <row r="15" spans="1:8">
      <c r="A15" s="1"/>
      <c r="B15" s="1"/>
      <c r="C15" s="1"/>
      <c r="D15" s="4"/>
      <c r="E15" s="4"/>
      <c r="F15" s="12"/>
      <c r="G15" s="12"/>
      <c r="H15" s="1"/>
    </row>
    <row r="16" spans="1:8">
      <c r="A16" s="1" t="s">
        <v>15</v>
      </c>
      <c r="B16" s="1" t="s">
        <v>16</v>
      </c>
      <c r="C16" s="1">
        <f>SUM(C18:C33)</f>
        <v>100</v>
      </c>
      <c r="D16" s="4">
        <f>SUM(D18:D32)</f>
        <v>73</v>
      </c>
      <c r="E16" s="4"/>
      <c r="F16" s="12">
        <f>SUM(F18:F31)</f>
        <v>73</v>
      </c>
      <c r="G16" s="12"/>
      <c r="H16" s="1">
        <f>SUM(H18:H33)</f>
        <v>73</v>
      </c>
    </row>
    <row r="17" spans="1:8">
      <c r="A17" s="1"/>
      <c r="B17" s="1"/>
      <c r="C17" s="1"/>
      <c r="D17" s="4"/>
      <c r="E17" s="4"/>
      <c r="F17" s="12"/>
      <c r="G17" s="12"/>
      <c r="H17" s="1"/>
    </row>
    <row r="18" ht="34" spans="1:8">
      <c r="A18" s="7" t="s">
        <v>17</v>
      </c>
      <c r="B18" t="s">
        <v>18</v>
      </c>
      <c r="C18">
        <v>15</v>
      </c>
      <c r="D18" s="2">
        <v>10</v>
      </c>
      <c r="E18" s="2" t="s">
        <v>19</v>
      </c>
      <c r="F18" s="3">
        <v>10</v>
      </c>
      <c r="H18">
        <f>AVERAGE(D18,F18)</f>
        <v>10</v>
      </c>
    </row>
    <row r="19" ht="17" spans="1:5">
      <c r="A19" s="1"/>
      <c r="B19" t="s">
        <v>20</v>
      </c>
      <c r="E19" s="13" t="s">
        <v>21</v>
      </c>
    </row>
    <row r="20" ht="17" spans="1:2">
      <c r="A20" s="1"/>
      <c r="B20" s="8" t="s">
        <v>22</v>
      </c>
    </row>
    <row r="21" spans="2:5">
      <c r="B21" t="s">
        <v>23</v>
      </c>
      <c r="E21" s="2" t="s">
        <v>24</v>
      </c>
    </row>
    <row r="22" ht="17" spans="1:8">
      <c r="A22" s="1" t="s">
        <v>25</v>
      </c>
      <c r="B22" s="8" t="s">
        <v>26</v>
      </c>
      <c r="C22">
        <v>25</v>
      </c>
      <c r="D22" s="2">
        <v>20</v>
      </c>
      <c r="F22" s="3">
        <v>20</v>
      </c>
      <c r="H22">
        <f t="shared" ref="H22:H31" si="0">AVERAGE(D22,F22)</f>
        <v>20</v>
      </c>
    </row>
    <row r="23" spans="1:2">
      <c r="A23" s="1"/>
      <c r="B23" s="9" t="s">
        <v>27</v>
      </c>
    </row>
    <row r="24" ht="17" spans="1:2">
      <c r="A24" s="1"/>
      <c r="B24" s="8" t="s">
        <v>28</v>
      </c>
    </row>
    <row r="25" ht="17" spans="1:2">
      <c r="A25" s="1"/>
      <c r="B25" s="8" t="s">
        <v>29</v>
      </c>
    </row>
    <row r="26" ht="17" spans="1:2">
      <c r="A26" s="1"/>
      <c r="B26" s="8" t="s">
        <v>30</v>
      </c>
    </row>
    <row r="27" ht="34" spans="1:8">
      <c r="A27" s="7" t="s">
        <v>31</v>
      </c>
      <c r="B27" t="s">
        <v>32</v>
      </c>
      <c r="C27">
        <v>15</v>
      </c>
      <c r="D27" s="2">
        <v>10</v>
      </c>
      <c r="F27" s="3">
        <v>10</v>
      </c>
      <c r="H27">
        <f t="shared" si="0"/>
        <v>10</v>
      </c>
    </row>
    <row r="28" ht="17" spans="1:9">
      <c r="A28" s="1"/>
      <c r="B28" s="10" t="s">
        <v>33</v>
      </c>
      <c r="E28" s="2" t="s">
        <v>34</v>
      </c>
      <c r="I28" s="3"/>
    </row>
    <row r="29" ht="34" spans="1:9">
      <c r="A29" s="7" t="s">
        <v>35</v>
      </c>
      <c r="B29" t="s">
        <v>36</v>
      </c>
      <c r="C29">
        <v>15</v>
      </c>
      <c r="D29" s="2">
        <v>15</v>
      </c>
      <c r="F29" s="3">
        <v>15</v>
      </c>
      <c r="H29">
        <f t="shared" si="0"/>
        <v>15</v>
      </c>
      <c r="I29" s="3"/>
    </row>
    <row r="30" spans="1:9">
      <c r="A30" s="1"/>
      <c r="B30" t="s">
        <v>37</v>
      </c>
      <c r="I30" s="3"/>
    </row>
    <row r="31" ht="34" spans="1:9">
      <c r="A31" s="7" t="s">
        <v>38</v>
      </c>
      <c r="B31" t="s">
        <v>39</v>
      </c>
      <c r="C31">
        <v>30</v>
      </c>
      <c r="D31" s="2">
        <v>18</v>
      </c>
      <c r="E31" s="2" t="s">
        <v>40</v>
      </c>
      <c r="F31" s="3">
        <v>18</v>
      </c>
      <c r="H31">
        <f t="shared" si="0"/>
        <v>18</v>
      </c>
      <c r="I31" s="3"/>
    </row>
    <row r="32" spans="1:9">
      <c r="A32" s="1"/>
      <c r="B32" t="s">
        <v>41</v>
      </c>
      <c r="I32" s="3"/>
    </row>
    <row r="33" spans="1:9">
      <c r="A33" s="7"/>
      <c r="I33" s="3"/>
    </row>
    <row r="34" spans="9:9">
      <c r="I34" s="3"/>
    </row>
    <row r="35" spans="1:9">
      <c r="A35" s="11"/>
      <c r="I35" s="3"/>
    </row>
    <row r="36" spans="1:9">
      <c r="A36" s="1"/>
      <c r="B36" s="1"/>
      <c r="C36" s="1"/>
      <c r="D36" s="4"/>
      <c r="E36" s="1"/>
      <c r="F36" s="12"/>
      <c r="G36" s="12"/>
      <c r="H36" s="1"/>
      <c r="I36" s="3"/>
    </row>
    <row r="37" spans="1:9">
      <c r="A37" s="1"/>
      <c r="I37" s="3"/>
    </row>
    <row r="38" spans="1:9">
      <c r="A38" s="1"/>
      <c r="B38" s="8"/>
      <c r="I38" s="3"/>
    </row>
    <row r="39" spans="1:9">
      <c r="A39" s="1"/>
      <c r="B39" s="8"/>
      <c r="I39" s="3"/>
    </row>
    <row r="40" spans="9:9">
      <c r="I40" s="3"/>
    </row>
    <row r="41" spans="2:9">
      <c r="B41" s="8"/>
      <c r="I41" s="3"/>
    </row>
    <row r="42" spans="2:9">
      <c r="B42" s="8"/>
      <c r="I42" s="3"/>
    </row>
    <row r="43" spans="1:9">
      <c r="A43" s="1"/>
      <c r="B43" s="8"/>
      <c r="I43" s="3"/>
    </row>
    <row r="44" spans="9:9">
      <c r="I44" s="3"/>
    </row>
    <row r="45" spans="9:9">
      <c r="I45" s="3"/>
    </row>
    <row r="46" spans="9:9">
      <c r="I46" s="3"/>
    </row>
    <row r="47" spans="1:9">
      <c r="A47" s="11"/>
      <c r="B47" s="8"/>
      <c r="I47" s="3"/>
    </row>
    <row r="48" spans="1:9">
      <c r="A48" s="1"/>
      <c r="I48" s="3"/>
    </row>
    <row r="49" spans="2:9">
      <c r="B49" s="8"/>
      <c r="I49" s="3"/>
    </row>
    <row r="50" spans="9:9">
      <c r="I50" s="3"/>
    </row>
    <row r="51" spans="9:9">
      <c r="I51" s="3"/>
    </row>
    <row r="52" spans="1:9">
      <c r="A52" s="1"/>
      <c r="I52" s="3"/>
    </row>
    <row r="53" spans="9:9">
      <c r="I53" s="3"/>
    </row>
    <row r="54" spans="1:9">
      <c r="A54" s="1"/>
      <c r="I54" s="3"/>
    </row>
    <row r="55" spans="9:9">
      <c r="I55" s="3"/>
    </row>
    <row r="56" spans="9:9">
      <c r="I56" s="3"/>
    </row>
    <row r="57" spans="9:9">
      <c r="I57" s="3"/>
    </row>
    <row r="58" spans="9:9">
      <c r="I58" s="3"/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7A75277E-CE6C-4709-AF9E-82983C20EDD1}">
  <ds:schemaRefs/>
</ds:datastoreItem>
</file>

<file path=customXml/itemProps2.xml><?xml version="1.0" encoding="utf-8"?>
<ds:datastoreItem xmlns:ds="http://schemas.openxmlformats.org/officeDocument/2006/customXml" ds:itemID="{6217F53C-A779-4319-9ABC-FF90248A81EB}">
  <ds:schemaRefs/>
</ds:datastoreItem>
</file>

<file path=customXml/itemProps3.xml><?xml version="1.0" encoding="utf-8"?>
<ds:datastoreItem xmlns:ds="http://schemas.openxmlformats.org/officeDocument/2006/customXml" ds:itemID="{BE9A5315-39A4-4269-8C08-5D8DA2248C8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Yipeng Hu</dc:creator>
  <cp:lastModifiedBy>Siyu HE</cp:lastModifiedBy>
  <dcterms:created xsi:type="dcterms:W3CDTF">2015-06-06T02:17:00Z</dcterms:created>
  <dcterms:modified xsi:type="dcterms:W3CDTF">2025-11-11T17:12:05Z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0x010100CFE7EE7EEB262D4BB284E3A2370A53DC</vt:lpwstr>
  </property>
  <property fmtid="{D5CDD505-2E9C-101B-9397-08002B2CF9AE}" pid="3" name="ICV">
    <vt:lpwstr>F2ED420580932672E5FD126934045C14_43</vt:lpwstr>
  </property>
  <property fmtid="{D5CDD505-2E9C-101B-9397-08002B2CF9AE}" pid="4" name="KSOProductBuildVer">
    <vt:lpwstr>2052-12.1.23135.23135</vt:lpwstr>
  </property>
</Properties>
</file>