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lan\Downloads\CW3_all_2nd\CW3_feedback\"/>
    </mc:Choice>
  </mc:AlternateContent>
  <xr:revisionPtr revIDLastSave="0" documentId="13_ncr:1_{65BEE044-F810-4F8B-BCCD-E4B69283CC78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D33" i="1"/>
  <c r="H33" i="1" s="1"/>
  <c r="H32" i="1"/>
  <c r="H31" i="1"/>
  <c r="H30" i="1"/>
  <c r="H29" i="1"/>
  <c r="H28" i="1"/>
  <c r="H25" i="1" s="1"/>
  <c r="H27" i="1"/>
  <c r="H26" i="1"/>
  <c r="H24" i="1"/>
  <c r="H23" i="1"/>
  <c r="H22" i="1"/>
  <c r="H21" i="1"/>
  <c r="H20" i="1"/>
  <c r="H19" i="1"/>
  <c r="H16" i="1" s="1"/>
  <c r="C6" i="1" s="1"/>
  <c r="H18" i="1"/>
</calcChain>
</file>

<file path=xl/sharedStrings.xml><?xml version="1.0" encoding="utf-8"?>
<sst xmlns="http://schemas.openxmlformats.org/spreadsheetml/2006/main" count="43" uniqueCount="37">
  <si>
    <t>Marksheet COMP0197 Coursework1 2023/24</t>
  </si>
  <si>
    <t>Student</t>
  </si>
  <si>
    <t>Marks</t>
  </si>
  <si>
    <t>Available</t>
  </si>
  <si>
    <t>Awarded</t>
  </si>
  <si>
    <t>Total</t>
  </si>
  <si>
    <t>1st Marker</t>
  </si>
  <si>
    <t>Yolanne Lee</t>
  </si>
  <si>
    <t>2nd Marker</t>
  </si>
  <si>
    <t>Sections</t>
  </si>
  <si>
    <t>Marking points</t>
  </si>
  <si>
    <t>1st marker</t>
  </si>
  <si>
    <t>remarks</t>
  </si>
  <si>
    <t>2nd marker</t>
  </si>
  <si>
    <t>consensus</t>
  </si>
  <si>
    <t xml:space="preserve"> Task</t>
  </si>
  <si>
    <t>Project Individual Report</t>
  </si>
  <si>
    <t>Minimum required project:</t>
  </si>
  <si>
    <t>Introduction: problem formulation, clear definition and justification of the weak supervision setup</t>
  </si>
  <si>
    <t>Introduction: background, literature, motivation, for both the MRP and OEQ study questions to address (20%)</t>
  </si>
  <si>
    <t>Methods: Clear weak supervision formulated (clearly identified weak supervision and its weak labels), the methodological details for the implemented weakly-supervised algorithms and othernetworks, novel methodology (25%)</t>
  </si>
  <si>
    <t>how do you supervise a model, what is the loss of your work</t>
  </si>
  <si>
    <t>Experiments: MRP comparison and ablation experiments (25%)</t>
  </si>
  <si>
    <t>Results: a summary of results, comparison, ablation, quantitative and statistical analysis (20%)</t>
  </si>
  <si>
    <t>Discussion: key findings, unanswered questions, limitations and future directions (5%)</t>
  </si>
  <si>
    <t>Conclusion: summarising the study and the results (5%)</t>
  </si>
  <si>
    <t>Open-ended question:</t>
  </si>
  <si>
    <t>few information provided on how this can be setup</t>
  </si>
  <si>
    <t>Introduction: background, literature, motivation, the MRP and OEQ study questions to address (20%)</t>
  </si>
  <si>
    <t>Methods: the methodological details for the implemented weakly-supervised algorithms and othernetworks, optional novel methodology for the OEQ (25%)</t>
  </si>
  <si>
    <t>Experiments: MRP comparison and ablation experiments, and other experiments for the OEQ (25%)</t>
  </si>
  <si>
    <t>experiments should be details of training , inferencing , hyperparameters etc. there are some result and disscuession written in thie part.</t>
  </si>
  <si>
    <t>Deduction considerations aside from above:</t>
  </si>
  <si>
    <t>Presentation (6 page limit)</t>
  </si>
  <si>
    <t>Presentation (formatting)</t>
  </si>
  <si>
    <t>Writing</t>
  </si>
  <si>
    <t>Novelty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</si>
</sst>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BF9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4472C4"/>
      <name val="Calibri"/>
      <family val="2"/>
      <charset val="1"/>
    </font>
    <font>
      <b/>
      <sz val="11"/>
      <color rgb="FFBF9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wrapText="1"/>
    </xf>
    <xf numFmtId="9" fontId="3" fillId="0" borderId="0" xfId="0" applyNumberFormat="1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90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11" zoomScaleNormal="100" workbookViewId="0">
      <selection activeCell="J31" sqref="J31"/>
    </sheetView>
  </sheetViews>
  <sheetFormatPr defaultColWidth="8.81640625" defaultRowHeight="14.5" x14ac:dyDescent="0.35"/>
  <cols>
    <col min="1" max="1" width="12" customWidth="1"/>
    <col min="2" max="2" width="103.1796875" customWidth="1"/>
    <col min="3" max="3" width="18.453125" customWidth="1"/>
    <col min="4" max="4" width="23.81640625" style="1" customWidth="1"/>
    <col min="5" max="5" width="16.54296875" style="1" customWidth="1"/>
    <col min="6" max="6" width="2" style="2" bestFit="1" customWidth="1"/>
    <col min="7" max="7" width="21.453125" style="2" customWidth="1"/>
    <col min="8" max="8" width="11.453125" customWidth="1"/>
    <col min="9" max="9" width="19.453125" customWidth="1"/>
    <col min="10" max="10" width="10.26953125" customWidth="1"/>
    <col min="11" max="11" width="9.1796875" customWidth="1"/>
  </cols>
  <sheetData>
    <row r="1" spans="1:8" s="3" customFormat="1" x14ac:dyDescent="0.35">
      <c r="A1" s="3" t="s">
        <v>0</v>
      </c>
      <c r="D1" s="4"/>
      <c r="E1" s="4"/>
      <c r="F1" s="5"/>
      <c r="G1" s="5"/>
    </row>
    <row r="3" spans="1:8" x14ac:dyDescent="0.35">
      <c r="A3" s="6"/>
      <c r="B3" s="6"/>
      <c r="C3" s="6"/>
    </row>
    <row r="4" spans="1:8" x14ac:dyDescent="0.35">
      <c r="A4" s="3" t="s">
        <v>1</v>
      </c>
      <c r="B4" s="7"/>
    </row>
    <row r="5" spans="1:8" x14ac:dyDescent="0.35">
      <c r="A5" s="3" t="s">
        <v>2</v>
      </c>
      <c r="B5" s="3" t="s">
        <v>3</v>
      </c>
      <c r="C5" s="3" t="s">
        <v>4</v>
      </c>
      <c r="D5" s="4"/>
    </row>
    <row r="6" spans="1:8" x14ac:dyDescent="0.35">
      <c r="A6" s="3" t="s">
        <v>5</v>
      </c>
      <c r="B6" s="3">
        <v>100</v>
      </c>
      <c r="C6" s="8">
        <f>SUM(H16,H25)</f>
        <v>72.199999999999989</v>
      </c>
      <c r="D6" s="4"/>
    </row>
    <row r="7" spans="1:8" x14ac:dyDescent="0.35">
      <c r="A7" s="6"/>
      <c r="B7" s="6"/>
      <c r="C7" s="6"/>
    </row>
    <row r="9" spans="1:8" x14ac:dyDescent="0.35">
      <c r="A9" s="3" t="s">
        <v>6</v>
      </c>
      <c r="B9" s="7" t="s">
        <v>7</v>
      </c>
    </row>
    <row r="10" spans="1:8" x14ac:dyDescent="0.35">
      <c r="A10" s="3" t="s">
        <v>8</v>
      </c>
    </row>
    <row r="14" spans="1:8" x14ac:dyDescent="0.35">
      <c r="A14" s="3" t="s">
        <v>9</v>
      </c>
      <c r="B14" s="3" t="s">
        <v>10</v>
      </c>
      <c r="C14" s="3" t="s">
        <v>3</v>
      </c>
      <c r="D14" s="4" t="s">
        <v>11</v>
      </c>
      <c r="E14" s="4" t="s">
        <v>12</v>
      </c>
      <c r="F14" s="5" t="s">
        <v>13</v>
      </c>
      <c r="G14" s="5" t="s">
        <v>12</v>
      </c>
      <c r="H14" s="3" t="s">
        <v>14</v>
      </c>
    </row>
    <row r="15" spans="1:8" x14ac:dyDescent="0.35">
      <c r="A15" s="3"/>
      <c r="B15" s="3"/>
      <c r="C15" s="9">
        <v>0.7</v>
      </c>
      <c r="D15" s="4"/>
      <c r="E15" s="4"/>
      <c r="F15" s="5"/>
      <c r="G15" s="5"/>
      <c r="H15" s="3"/>
    </row>
    <row r="16" spans="1:8" x14ac:dyDescent="0.35">
      <c r="A16" s="3" t="s">
        <v>15</v>
      </c>
      <c r="B16" s="3" t="s">
        <v>16</v>
      </c>
      <c r="C16" s="3">
        <v>100</v>
      </c>
      <c r="D16" s="4"/>
      <c r="E16" s="4"/>
      <c r="F16" s="5"/>
      <c r="G16" s="5"/>
      <c r="H16" s="3">
        <f>0.7*SUM(H18:H24)</f>
        <v>51.8</v>
      </c>
    </row>
    <row r="17" spans="1:9" x14ac:dyDescent="0.35">
      <c r="A17" s="3"/>
      <c r="B17" s="10" t="s">
        <v>17</v>
      </c>
      <c r="C17" s="3"/>
      <c r="D17" s="4"/>
      <c r="E17" s="4"/>
      <c r="F17" s="5"/>
      <c r="G17" s="5"/>
      <c r="H17" s="3"/>
    </row>
    <row r="18" spans="1:9" x14ac:dyDescent="0.35">
      <c r="A18" s="8"/>
      <c r="B18" t="s">
        <v>18</v>
      </c>
      <c r="C18">
        <v>10</v>
      </c>
      <c r="D18" s="1">
        <v>9</v>
      </c>
      <c r="F18" s="2">
        <v>9</v>
      </c>
      <c r="H18">
        <f t="shared" ref="H18:H24" si="0">AVERAGE(D18,F18)</f>
        <v>9</v>
      </c>
    </row>
    <row r="19" spans="1:9" x14ac:dyDescent="0.35">
      <c r="A19" s="3"/>
      <c r="B19" t="s">
        <v>19</v>
      </c>
      <c r="C19">
        <v>10</v>
      </c>
      <c r="D19" s="1">
        <v>9</v>
      </c>
      <c r="F19" s="2">
        <v>9</v>
      </c>
      <c r="H19">
        <f t="shared" si="0"/>
        <v>9</v>
      </c>
    </row>
    <row r="20" spans="1:9" ht="45" customHeight="1" x14ac:dyDescent="0.35">
      <c r="A20" s="3"/>
      <c r="B20" s="11" t="s">
        <v>20</v>
      </c>
      <c r="C20">
        <v>25</v>
      </c>
      <c r="D20" s="1">
        <v>18</v>
      </c>
      <c r="E20" s="1" t="s">
        <v>21</v>
      </c>
      <c r="F20" s="2">
        <v>18</v>
      </c>
      <c r="H20">
        <f t="shared" si="0"/>
        <v>18</v>
      </c>
    </row>
    <row r="21" spans="1:9" x14ac:dyDescent="0.35">
      <c r="B21" s="11" t="s">
        <v>22</v>
      </c>
      <c r="C21">
        <v>25</v>
      </c>
      <c r="D21" s="1">
        <v>15</v>
      </c>
      <c r="F21" s="2">
        <v>15</v>
      </c>
      <c r="H21">
        <f t="shared" si="0"/>
        <v>15</v>
      </c>
    </row>
    <row r="22" spans="1:9" x14ac:dyDescent="0.35">
      <c r="A22" s="3"/>
      <c r="B22" s="12" t="s">
        <v>23</v>
      </c>
      <c r="C22">
        <v>20</v>
      </c>
      <c r="D22" s="1">
        <v>15</v>
      </c>
      <c r="F22" s="2">
        <v>15</v>
      </c>
      <c r="H22">
        <f t="shared" si="0"/>
        <v>15</v>
      </c>
    </row>
    <row r="23" spans="1:9" x14ac:dyDescent="0.35">
      <c r="A23" s="3"/>
      <c r="B23" s="11" t="s">
        <v>24</v>
      </c>
      <c r="C23">
        <v>5</v>
      </c>
      <c r="D23" s="1">
        <v>4</v>
      </c>
      <c r="F23" s="2">
        <v>4</v>
      </c>
      <c r="H23">
        <f t="shared" si="0"/>
        <v>4</v>
      </c>
    </row>
    <row r="24" spans="1:9" x14ac:dyDescent="0.35">
      <c r="A24" s="3"/>
      <c r="B24" t="s">
        <v>25</v>
      </c>
      <c r="C24">
        <v>5</v>
      </c>
      <c r="D24" s="1">
        <v>4</v>
      </c>
      <c r="F24" s="2">
        <v>4</v>
      </c>
      <c r="H24">
        <f t="shared" si="0"/>
        <v>4</v>
      </c>
    </row>
    <row r="25" spans="1:9" x14ac:dyDescent="0.35">
      <c r="A25" s="3"/>
      <c r="B25" s="10" t="s">
        <v>26</v>
      </c>
      <c r="C25" s="9">
        <v>0.3</v>
      </c>
      <c r="H25" s="3">
        <f>0.3*SUM(H26:H32)</f>
        <v>20.399999999999999</v>
      </c>
    </row>
    <row r="26" spans="1:9" x14ac:dyDescent="0.35">
      <c r="A26" s="8"/>
      <c r="B26" t="s">
        <v>18</v>
      </c>
      <c r="C26">
        <v>10</v>
      </c>
      <c r="D26" s="1">
        <v>6</v>
      </c>
      <c r="E26" s="1" t="s">
        <v>27</v>
      </c>
      <c r="F26" s="2">
        <v>6</v>
      </c>
      <c r="H26">
        <f t="shared" ref="H26:H33" si="1">AVERAGE(D26,F26)</f>
        <v>6</v>
      </c>
    </row>
    <row r="27" spans="1:9" x14ac:dyDescent="0.35">
      <c r="A27" s="3"/>
      <c r="B27" t="s">
        <v>28</v>
      </c>
      <c r="C27">
        <v>10</v>
      </c>
      <c r="D27" s="1">
        <v>6</v>
      </c>
      <c r="F27" s="2">
        <v>6</v>
      </c>
      <c r="H27">
        <f t="shared" si="1"/>
        <v>6</v>
      </c>
    </row>
    <row r="28" spans="1:9" ht="30" customHeight="1" x14ac:dyDescent="0.35">
      <c r="A28" s="3"/>
      <c r="B28" s="11" t="s">
        <v>29</v>
      </c>
      <c r="C28">
        <v>25</v>
      </c>
      <c r="D28" s="1">
        <v>15</v>
      </c>
      <c r="F28" s="2">
        <v>15</v>
      </c>
      <c r="H28">
        <f t="shared" si="1"/>
        <v>15</v>
      </c>
      <c r="I28" s="2"/>
    </row>
    <row r="29" spans="1:9" x14ac:dyDescent="0.35">
      <c r="B29" s="11" t="s">
        <v>30</v>
      </c>
      <c r="C29">
        <v>25</v>
      </c>
      <c r="D29" s="1">
        <v>15</v>
      </c>
      <c r="E29" s="1" t="s">
        <v>31</v>
      </c>
      <c r="F29" s="2">
        <v>15</v>
      </c>
      <c r="H29">
        <f t="shared" si="1"/>
        <v>15</v>
      </c>
      <c r="I29" s="2"/>
    </row>
    <row r="30" spans="1:9" x14ac:dyDescent="0.35">
      <c r="A30" s="3"/>
      <c r="B30" s="16" t="s">
        <v>23</v>
      </c>
      <c r="C30">
        <v>20</v>
      </c>
      <c r="D30" s="1">
        <v>20</v>
      </c>
      <c r="F30" s="2">
        <v>20</v>
      </c>
      <c r="H30">
        <f t="shared" si="1"/>
        <v>20</v>
      </c>
      <c r="I30" s="2"/>
    </row>
    <row r="31" spans="1:9" x14ac:dyDescent="0.35">
      <c r="A31" s="3"/>
      <c r="B31" s="11" t="s">
        <v>24</v>
      </c>
      <c r="C31">
        <v>5</v>
      </c>
      <c r="D31" s="1">
        <v>3</v>
      </c>
      <c r="F31" s="2">
        <v>3</v>
      </c>
      <c r="H31">
        <f t="shared" si="1"/>
        <v>3</v>
      </c>
      <c r="I31" s="2"/>
    </row>
    <row r="32" spans="1:9" x14ac:dyDescent="0.35">
      <c r="A32" s="3"/>
      <c r="B32" t="s">
        <v>25</v>
      </c>
      <c r="C32">
        <v>5</v>
      </c>
      <c r="D32" s="1">
        <v>3</v>
      </c>
      <c r="F32" s="2">
        <v>3</v>
      </c>
      <c r="H32">
        <f t="shared" si="1"/>
        <v>3</v>
      </c>
      <c r="I32" s="2"/>
    </row>
    <row r="33" spans="1:9" x14ac:dyDescent="0.35">
      <c r="B33" s="13" t="s">
        <v>32</v>
      </c>
      <c r="D33" s="14">
        <f>0.7*SUM(D18:D24)+0.3*SUM(D26:D32)</f>
        <v>72.199999999999989</v>
      </c>
      <c r="F33" s="14">
        <f>0.7*SUM(F18:F24)+0.3*SUM(F26:F32)</f>
        <v>72.199999999999989</v>
      </c>
      <c r="H33">
        <f t="shared" si="1"/>
        <v>72.199999999999989</v>
      </c>
      <c r="I33" s="2"/>
    </row>
    <row r="34" spans="1:9" x14ac:dyDescent="0.35">
      <c r="B34" t="s">
        <v>33</v>
      </c>
      <c r="I34" s="2"/>
    </row>
    <row r="35" spans="1:9" x14ac:dyDescent="0.35">
      <c r="A35" s="15"/>
      <c r="B35" t="s">
        <v>34</v>
      </c>
      <c r="I35" s="2"/>
    </row>
    <row r="36" spans="1:9" x14ac:dyDescent="0.35">
      <c r="A36" s="3"/>
      <c r="B36" s="12" t="s">
        <v>35</v>
      </c>
      <c r="C36" s="3"/>
      <c r="D36" s="4"/>
      <c r="E36" s="3"/>
      <c r="F36" s="5"/>
      <c r="G36" s="5"/>
      <c r="H36" s="3"/>
      <c r="I36" s="2"/>
    </row>
    <row r="37" spans="1:9" x14ac:dyDescent="0.35">
      <c r="A37" s="3"/>
      <c r="B37" t="s">
        <v>36</v>
      </c>
      <c r="I37" s="2"/>
    </row>
    <row r="38" spans="1:9" x14ac:dyDescent="0.35">
      <c r="A38" s="3"/>
      <c r="B38" s="11"/>
      <c r="I38" s="2"/>
    </row>
    <row r="39" spans="1:9" x14ac:dyDescent="0.35">
      <c r="A39" s="3"/>
      <c r="B39" s="11"/>
      <c r="I39" s="2"/>
    </row>
    <row r="40" spans="1:9" x14ac:dyDescent="0.35">
      <c r="I40" s="2"/>
    </row>
    <row r="41" spans="1:9" x14ac:dyDescent="0.35">
      <c r="B41" s="11"/>
      <c r="I41" s="2"/>
    </row>
    <row r="42" spans="1:9" x14ac:dyDescent="0.35">
      <c r="B42" s="11"/>
      <c r="I42" s="2"/>
    </row>
    <row r="43" spans="1:9" x14ac:dyDescent="0.35">
      <c r="A43" s="3"/>
      <c r="B43" s="11"/>
      <c r="I43" s="2"/>
    </row>
    <row r="44" spans="1:9" x14ac:dyDescent="0.35">
      <c r="I44" s="2"/>
    </row>
    <row r="45" spans="1:9" x14ac:dyDescent="0.35">
      <c r="I45" s="2"/>
    </row>
    <row r="46" spans="1:9" x14ac:dyDescent="0.35">
      <c r="I46" s="2"/>
    </row>
    <row r="47" spans="1:9" x14ac:dyDescent="0.35">
      <c r="A47" s="15"/>
      <c r="B47" s="11"/>
      <c r="I47" s="2"/>
    </row>
    <row r="48" spans="1:9" x14ac:dyDescent="0.35">
      <c r="A48" s="3"/>
      <c r="I48" s="2"/>
    </row>
    <row r="49" spans="1:9" x14ac:dyDescent="0.35">
      <c r="B49" s="11"/>
      <c r="I49" s="2"/>
    </row>
    <row r="50" spans="1:9" x14ac:dyDescent="0.35">
      <c r="I50" s="2"/>
    </row>
    <row r="51" spans="1:9" x14ac:dyDescent="0.35">
      <c r="I51" s="2"/>
    </row>
    <row r="52" spans="1:9" x14ac:dyDescent="0.35">
      <c r="A52" s="3"/>
      <c r="I52" s="2"/>
    </row>
    <row r="53" spans="1:9" x14ac:dyDescent="0.35">
      <c r="I53" s="2"/>
    </row>
    <row r="54" spans="1:9" x14ac:dyDescent="0.35">
      <c r="A54" s="3"/>
      <c r="I54" s="2"/>
    </row>
    <row r="55" spans="1:9" x14ac:dyDescent="0.35">
      <c r="I55" s="2"/>
    </row>
    <row r="56" spans="1:9" x14ac:dyDescent="0.35">
      <c r="I56" s="2"/>
    </row>
    <row r="57" spans="1:9" x14ac:dyDescent="0.35">
      <c r="I57" s="2"/>
    </row>
    <row r="58" spans="1:9" x14ac:dyDescent="0.35">
      <c r="I58" s="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Yipeng Hu</dc:creator>
  <cp:lastModifiedBy>Lee, Yolanne</cp:lastModifiedBy>
  <cp:revision>2</cp:revision>
  <dcterms:created xsi:type="dcterms:W3CDTF">2015-06-05T18:17:20Z</dcterms:created>
  <dcterms:modified xsi:type="dcterms:W3CDTF">2025-06-18T23:26:51Z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0x010100CFE7EE7EEB262D4BB284E3A2370A53DC</vt:lpwstr>
  </property>
</Properties>
</file>